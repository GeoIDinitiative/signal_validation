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ctpuglisi\Doc\Progetti\2023\EC\IMPROVE\Etna-School&amp;Experiment\Defo\2018\Tilt\"/>
    </mc:Choice>
  </mc:AlternateContent>
  <bookViews>
    <workbookView xWindow="0" yWindow="0" windowWidth="19740" windowHeight="4500" activeTab="1"/>
  </bookViews>
  <sheets>
    <sheet name="Conversion" sheetId="2" r:id="rId1"/>
    <sheet name="Station" sheetId="1" r:id="rId2"/>
  </sheets>
  <calcPr calcId="162913"/>
</workbook>
</file>

<file path=xl/calcChain.xml><?xml version="1.0" encoding="utf-8"?>
<calcChain xmlns="http://schemas.openxmlformats.org/spreadsheetml/2006/main">
  <c r="D18" i="2" l="1"/>
  <c r="C17" i="2"/>
  <c r="D17" i="2" s="1"/>
  <c r="C16" i="2"/>
  <c r="C6" i="2"/>
  <c r="D6" i="2" s="1"/>
  <c r="D7" i="2"/>
  <c r="C4" i="2"/>
  <c r="D4" i="2" s="1"/>
  <c r="J18" i="2"/>
  <c r="J4" i="2" l="1"/>
  <c r="J5" i="2" l="1"/>
  <c r="J6" i="2"/>
  <c r="J7" i="2"/>
  <c r="J8" i="2"/>
  <c r="J9" i="2"/>
  <c r="J10" i="2"/>
  <c r="J11" i="2"/>
  <c r="J12" i="2"/>
  <c r="J13" i="2"/>
  <c r="J14" i="2"/>
  <c r="J15" i="2"/>
  <c r="J16" i="2"/>
  <c r="J17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D16" i="2"/>
  <c r="E16" i="2" s="1"/>
  <c r="C14" i="2"/>
  <c r="D14" i="2" s="1"/>
  <c r="E14" i="2" s="1"/>
  <c r="E6" i="2"/>
  <c r="C5" i="2"/>
  <c r="C8" i="2"/>
  <c r="C9" i="2"/>
  <c r="C10" i="2"/>
  <c r="D10" i="2" s="1"/>
  <c r="E10" i="2" s="1"/>
  <c r="C11" i="2"/>
  <c r="D11" i="2" s="1"/>
  <c r="E11" i="2" s="1"/>
  <c r="C12" i="2"/>
  <c r="D12" i="2" s="1"/>
  <c r="C13" i="2"/>
  <c r="D13" i="2" s="1"/>
  <c r="C15" i="2"/>
  <c r="E17" i="2"/>
  <c r="E4" i="2"/>
  <c r="D8" i="2" l="1"/>
  <c r="E8" i="2" s="1"/>
  <c r="I8" i="2" s="1"/>
  <c r="D15" i="2"/>
  <c r="E15" i="2" s="1"/>
  <c r="D5" i="2"/>
  <c r="E5" i="2" s="1"/>
  <c r="D9" i="2"/>
  <c r="E9" i="2" s="1"/>
  <c r="I6" i="2"/>
  <c r="H6" i="2"/>
  <c r="I10" i="2"/>
  <c r="H10" i="2"/>
  <c r="I4" i="2"/>
  <c r="H4" i="2"/>
  <c r="I14" i="2"/>
  <c r="H14" i="2"/>
  <c r="H17" i="2"/>
  <c r="I17" i="2"/>
  <c r="H11" i="2"/>
  <c r="I11" i="2"/>
  <c r="I16" i="2"/>
  <c r="H16" i="2"/>
  <c r="E13" i="2"/>
  <c r="E7" i="2"/>
  <c r="E12" i="2"/>
  <c r="H8" i="2" l="1"/>
  <c r="H9" i="2"/>
  <c r="I9" i="2"/>
  <c r="I5" i="2"/>
  <c r="H5" i="2"/>
  <c r="H15" i="2"/>
  <c r="I15" i="2"/>
  <c r="I13" i="2"/>
  <c r="H13" i="2"/>
  <c r="I12" i="2"/>
  <c r="H12" i="2"/>
  <c r="I7" i="2"/>
  <c r="H7" i="2"/>
  <c r="E18" i="2" l="1"/>
  <c r="H18" i="2" s="1"/>
  <c r="I18" i="2" l="1"/>
</calcChain>
</file>

<file path=xl/sharedStrings.xml><?xml version="1.0" encoding="utf-8"?>
<sst xmlns="http://schemas.openxmlformats.org/spreadsheetml/2006/main" count="87" uniqueCount="62">
  <si>
    <t>Tilt X</t>
  </si>
  <si>
    <t>Tilt Y</t>
  </si>
  <si>
    <t>PDN</t>
  </si>
  <si>
    <t>CDV</t>
  </si>
  <si>
    <t>MDZ</t>
  </si>
  <si>
    <t>DAM</t>
  </si>
  <si>
    <t>MNR</t>
  </si>
  <si>
    <t>MEG</t>
  </si>
  <si>
    <t>PLC</t>
  </si>
  <si>
    <t>CBD</t>
  </si>
  <si>
    <t>ECP</t>
  </si>
  <si>
    <t>MCN</t>
  </si>
  <si>
    <t>MGL</t>
  </si>
  <si>
    <t>MSP</t>
  </si>
  <si>
    <t>Etna</t>
  </si>
  <si>
    <t>N296°E</t>
  </si>
  <si>
    <t>N175°E</t>
  </si>
  <si>
    <t>N88°E</t>
  </si>
  <si>
    <t>N201°E</t>
  </si>
  <si>
    <t>N314.5°E</t>
  </si>
  <si>
    <t>N330°E</t>
  </si>
  <si>
    <t>N220°E</t>
  </si>
  <si>
    <t>N194°E</t>
  </si>
  <si>
    <t>N51°E</t>
  </si>
  <si>
    <t>N249.5°E</t>
  </si>
  <si>
    <t>N54°E</t>
  </si>
  <si>
    <t>N122°E</t>
  </si>
  <si>
    <t>N206°E</t>
  </si>
  <si>
    <t>N85°E</t>
  </si>
  <si>
    <t>N358°E</t>
  </si>
  <si>
    <t>N111°E</t>
  </si>
  <si>
    <t>N224.5°E</t>
  </si>
  <si>
    <t>N240°E</t>
  </si>
  <si>
    <t>N130°E</t>
  </si>
  <si>
    <t>N104°E</t>
  </si>
  <si>
    <t>N321°E</t>
  </si>
  <si>
    <t>N159.5°E</t>
  </si>
  <si>
    <t>N324°E</t>
  </si>
  <si>
    <t>N32°E</t>
  </si>
  <si>
    <t>EC1</t>
  </si>
  <si>
    <t>MMT</t>
  </si>
  <si>
    <t>tilt x</t>
  </si>
  <si>
    <t>tily y</t>
  </si>
  <si>
    <t>Tilt N</t>
  </si>
  <si>
    <t>N114°E</t>
  </si>
  <si>
    <t>gradi</t>
  </si>
  <si>
    <t>radianti</t>
  </si>
  <si>
    <t>Tilt E</t>
  </si>
  <si>
    <t>N204°E</t>
  </si>
  <si>
    <t>N096°E</t>
  </si>
  <si>
    <t>N006°E</t>
  </si>
  <si>
    <t>Modulo</t>
  </si>
  <si>
    <t>angolo trigonometrico (Est=0 ; + antiorario)</t>
  </si>
  <si>
    <t>EMAS</t>
  </si>
  <si>
    <t>1 min</t>
  </si>
  <si>
    <t>EC10</t>
  </si>
  <si>
    <t>10 min</t>
  </si>
  <si>
    <t>15 min</t>
  </si>
  <si>
    <t>orientation</t>
  </si>
  <si>
    <t>sampling period</t>
  </si>
  <si>
    <t>Station Names</t>
  </si>
  <si>
    <t>Azimuth of X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</si>
</sst>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2" fontId="5" fillId="0" borderId="0" xfId="0" applyNumberFormat="1" applyFont="1" applyFill="1" applyAlignment="1">
      <alignment horizontal="center"/>
    </xf>
    <xf numFmtId="2" fontId="7" fillId="0" borderId="0" xfId="0" applyNumberFormat="1" applyFont="1" applyAlignment="1">
      <alignment horizontal="center"/>
    </xf>
    <xf numFmtId="0" fontId="0" fillId="0" borderId="0" xfId="0" applyFill="1"/>
    <xf numFmtId="0" fontId="4" fillId="0" borderId="0" xfId="0" applyFont="1" applyFill="1" applyBorder="1"/>
    <xf numFmtId="2" fontId="7" fillId="0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Font="1" applyFill="1"/>
    <xf numFmtId="0" fontId="1" fillId="0" borderId="0" xfId="0" applyFont="1" applyFill="1" applyBorder="1"/>
  </cellXfs>
  <cellStyles count="2">
    <cellStyle name="Normale" xfId="0" builtinId="0"/>
    <cellStyle name="Normale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1739900</xdr:colOff>
      <xdr:row>2</xdr:row>
      <xdr:rowOff>177800</xdr:rowOff>
    </xdr:from>
    <xdr:ext cx="3292475" cy="436786"/>
    <xdr:sp macro="" textlink="">
      <xdr:nvSpPr>
        <xdr:cNvPr id="2" name="CasellaDiTesto 1"/>
        <xdr:cNvSpPr txBox="1"/>
      </xdr:nvSpPr>
      <xdr:spPr>
        <a:xfrm>
          <a:off x="5251450" y="546100"/>
          <a:ext cx="3292475" cy="4367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 baseline="0"/>
            <a:t>Positive "values" means that tilt measure ground subsidence in that direction.</a:t>
          </a:r>
          <a:endParaRPr lang="it-IT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574675</xdr:colOff>
      <xdr:row>7</xdr:row>
      <xdr:rowOff>85725</xdr:rowOff>
    </xdr:from>
    <xdr:ext cx="3292475" cy="436786"/>
    <xdr:sp macro="" textlink="">
      <xdr:nvSpPr>
        <xdr:cNvPr id="2" name="CasellaDiTesto 1"/>
        <xdr:cNvSpPr txBox="1"/>
      </xdr:nvSpPr>
      <xdr:spPr>
        <a:xfrm>
          <a:off x="6200775" y="1374775"/>
          <a:ext cx="3292475" cy="4367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1100" baseline="0"/>
            <a:t>Positive "orientation" means that tilt measure ground subsidence in both directions of X and Y axis.</a:t>
          </a:r>
          <a:endParaRPr lang="it-IT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>
      <selection activeCell="K11" sqref="K11"/>
    </sheetView>
  </sheetViews>
  <sheetFormatPr defaultRowHeight="14.5" x14ac:dyDescent="0.35"/>
  <cols>
    <col min="1" max="1" width="5.7265625" customWidth="1"/>
    <col min="2" max="2" width="10.08984375" style="1" hidden="1" customWidth="1"/>
    <col min="3" max="3" width="15.453125" style="1" hidden="1" customWidth="1"/>
    <col min="4" max="4" width="31.81640625" style="1" hidden="1" customWidth="1"/>
    <col min="5" max="5" width="16.7265625" style="1" hidden="1" customWidth="1"/>
    <col min="6" max="7" width="9.1796875" style="1"/>
    <col min="11" max="11" width="25.26953125" bestFit="1" customWidth="1"/>
  </cols>
  <sheetData>
    <row r="1" spans="1:11" x14ac:dyDescent="0.35">
      <c r="A1">
        <v>16</v>
      </c>
    </row>
    <row r="2" spans="1:11" x14ac:dyDescent="0.35">
      <c r="B2" s="1" t="s">
        <v>58</v>
      </c>
      <c r="C2" s="5" t="s">
        <v>61</v>
      </c>
      <c r="D2" s="13" t="s">
        <v>52</v>
      </c>
      <c r="E2" s="13"/>
      <c r="F2" s="3" t="s">
        <v>41</v>
      </c>
      <c r="G2" s="3" t="s">
        <v>42</v>
      </c>
      <c r="H2" s="4" t="s">
        <v>47</v>
      </c>
      <c r="I2" s="4" t="s">
        <v>43</v>
      </c>
      <c r="J2" s="7" t="s">
        <v>51</v>
      </c>
      <c r="K2" s="7"/>
    </row>
    <row r="3" spans="1:11" x14ac:dyDescent="0.35">
      <c r="A3" t="s">
        <v>14</v>
      </c>
      <c r="B3" s="5"/>
      <c r="C3" s="5"/>
      <c r="D3" s="5" t="s">
        <v>45</v>
      </c>
      <c r="E3" s="5" t="s">
        <v>46</v>
      </c>
      <c r="J3" s="2"/>
      <c r="K3" s="2"/>
    </row>
    <row r="4" spans="1:11" x14ac:dyDescent="0.35">
      <c r="A4" t="s">
        <v>2</v>
      </c>
      <c r="B4" s="1">
        <f>Station!D4</f>
        <v>1</v>
      </c>
      <c r="C4" s="1" t="str">
        <f>MID(Station!B4,2,3)</f>
        <v>296</v>
      </c>
      <c r="D4" s="1">
        <f>(360+90)-C4</f>
        <v>154</v>
      </c>
      <c r="E4" s="1">
        <f>D4*PI()/180</f>
        <v>2.6878070480712677</v>
      </c>
      <c r="F4" s="3">
        <v>1</v>
      </c>
      <c r="G4" s="3">
        <v>1</v>
      </c>
      <c r="H4" s="12">
        <f>-(F4*COS(E4)-G4*SIN(E4))*B4</f>
        <v>1.3371651930882442</v>
      </c>
      <c r="I4" s="12">
        <f>-(F4*SIN(E4)+G4*COS(E4))*B4</f>
        <v>0.46042289951008974</v>
      </c>
      <c r="J4" s="7">
        <f>SQRT(F4^2+G4^2)</f>
        <v>1.4142135623730951</v>
      </c>
      <c r="K4" s="10"/>
    </row>
    <row r="5" spans="1:11" x14ac:dyDescent="0.35">
      <c r="A5" t="s">
        <v>3</v>
      </c>
      <c r="B5" s="1">
        <f>Station!D5</f>
        <v>1</v>
      </c>
      <c r="C5" s="1" t="str">
        <f>MID(Station!B5,2,3)</f>
        <v>175</v>
      </c>
      <c r="D5" s="1">
        <f>(C5-90)*-1</f>
        <v>-85</v>
      </c>
      <c r="E5" s="1">
        <f t="shared" ref="E5:E17" si="0">D5*PI()/180</f>
        <v>-1.4835298641951802</v>
      </c>
      <c r="F5" s="3">
        <v>1</v>
      </c>
      <c r="G5" s="3">
        <v>1</v>
      </c>
      <c r="H5" s="12">
        <f t="shared" ref="H5:H17" si="1">-(F5*COS(E5)-G5*SIN(E5))*B5</f>
        <v>-1.0833504408394037</v>
      </c>
      <c r="I5" s="12">
        <f t="shared" ref="I5:I17" si="2">-(F5*SIN(E5)+G5*COS(E5))*B5</f>
        <v>0.90903895534408741</v>
      </c>
      <c r="J5" s="7">
        <f t="shared" ref="J5:J17" si="3">SQRT(F5^2+G5^2)</f>
        <v>1.4142135623730951</v>
      </c>
      <c r="K5" s="10"/>
    </row>
    <row r="6" spans="1:11" x14ac:dyDescent="0.35">
      <c r="A6" t="s">
        <v>4</v>
      </c>
      <c r="B6" s="1">
        <f>Station!D6</f>
        <v>1</v>
      </c>
      <c r="C6" s="1" t="str">
        <f>MID(Station!B6,2,2)</f>
        <v>88</v>
      </c>
      <c r="D6" s="1">
        <f>90-C6</f>
        <v>2</v>
      </c>
      <c r="E6" s="1">
        <f t="shared" si="0"/>
        <v>3.4906585039886591E-2</v>
      </c>
      <c r="F6" s="3">
        <v>1</v>
      </c>
      <c r="G6" s="3">
        <v>1</v>
      </c>
      <c r="H6" s="12">
        <f t="shared" ref="H6" si="4">-(F6*COS(E6)-G6*SIN(E6))*B6</f>
        <v>-0.96449133031659484</v>
      </c>
      <c r="I6" s="12">
        <f t="shared" ref="I6" si="5">-(F6*SIN(E6)+G6*COS(E6))*B6</f>
        <v>-1.0342903237215968</v>
      </c>
      <c r="J6" s="7">
        <f t="shared" si="3"/>
        <v>1.4142135623730951</v>
      </c>
      <c r="K6" s="10"/>
    </row>
    <row r="7" spans="1:11" x14ac:dyDescent="0.35">
      <c r="A7" s="8" t="s">
        <v>5</v>
      </c>
      <c r="B7" s="1">
        <f>Station!D7</f>
        <v>1</v>
      </c>
      <c r="C7" s="1">
        <v>70</v>
      </c>
      <c r="D7" s="1">
        <f>(90-C7)</f>
        <v>20</v>
      </c>
      <c r="E7" s="1">
        <f t="shared" si="0"/>
        <v>0.3490658503988659</v>
      </c>
      <c r="F7" s="3">
        <v>1</v>
      </c>
      <c r="G7" s="3">
        <v>1</v>
      </c>
      <c r="H7" s="12">
        <f t="shared" si="1"/>
        <v>-0.59767247746023977</v>
      </c>
      <c r="I7" s="12">
        <f t="shared" si="2"/>
        <v>-1.2817127641115771</v>
      </c>
      <c r="J7" s="7">
        <f t="shared" si="3"/>
        <v>1.4142135623730951</v>
      </c>
      <c r="K7" s="10"/>
    </row>
    <row r="8" spans="1:11" x14ac:dyDescent="0.35">
      <c r="A8" s="8" t="s">
        <v>6</v>
      </c>
      <c r="B8" s="1">
        <f>Station!D8</f>
        <v>-1</v>
      </c>
      <c r="C8" s="1" t="str">
        <f>MID(Station!B8,2,3)</f>
        <v>204</v>
      </c>
      <c r="D8" s="1">
        <f>90-C8</f>
        <v>-114</v>
      </c>
      <c r="E8" s="1">
        <f t="shared" si="0"/>
        <v>-1.9896753472735356</v>
      </c>
      <c r="F8" s="3">
        <v>1</v>
      </c>
      <c r="G8" s="3">
        <v>1</v>
      </c>
      <c r="H8" s="12">
        <f t="shared" si="1"/>
        <v>0.50680881456680094</v>
      </c>
      <c r="I8" s="12">
        <f t="shared" si="2"/>
        <v>-1.3202821007184009</v>
      </c>
      <c r="J8" s="7">
        <f t="shared" si="3"/>
        <v>1.4142135623730951</v>
      </c>
      <c r="K8" s="10"/>
    </row>
    <row r="9" spans="1:11" x14ac:dyDescent="0.35">
      <c r="A9" s="15" t="s">
        <v>7</v>
      </c>
      <c r="B9" s="1">
        <f>Station!D9</f>
        <v>-1</v>
      </c>
      <c r="C9" s="1" t="str">
        <f>MID(Station!B9,2,3)</f>
        <v>096</v>
      </c>
      <c r="D9" s="1">
        <f>(360+90)-C9</f>
        <v>354</v>
      </c>
      <c r="E9" s="1">
        <f t="shared" si="0"/>
        <v>6.1784655520599268</v>
      </c>
      <c r="F9" s="3">
        <v>1</v>
      </c>
      <c r="G9" s="3">
        <v>1</v>
      </c>
      <c r="H9" s="12">
        <f t="shared" si="1"/>
        <v>1.0990503586359268</v>
      </c>
      <c r="I9" s="12">
        <f t="shared" si="2"/>
        <v>0.88999343210061987</v>
      </c>
      <c r="J9" s="7">
        <f t="shared" si="3"/>
        <v>1.4142135623730951</v>
      </c>
      <c r="K9" s="10"/>
    </row>
    <row r="10" spans="1:11" x14ac:dyDescent="0.35">
      <c r="A10" s="15" t="s">
        <v>8</v>
      </c>
      <c r="B10" s="1">
        <f>Station!D10</f>
        <v>1</v>
      </c>
      <c r="C10" s="1" t="str">
        <f>MID(Station!B10,2,3)</f>
        <v>314</v>
      </c>
      <c r="D10" s="1">
        <f>(360+90)-C10</f>
        <v>136</v>
      </c>
      <c r="E10" s="1">
        <f t="shared" si="0"/>
        <v>2.3736477827122884</v>
      </c>
      <c r="F10" s="3">
        <v>1</v>
      </c>
      <c r="G10" s="3">
        <v>1</v>
      </c>
      <c r="H10" s="12">
        <f t="shared" si="1"/>
        <v>1.4139981707976483</v>
      </c>
      <c r="I10" s="12">
        <f t="shared" si="2"/>
        <v>2.4681429879654049E-2</v>
      </c>
      <c r="J10" s="7">
        <f t="shared" si="3"/>
        <v>1.4142135623730951</v>
      </c>
      <c r="K10" s="10"/>
    </row>
    <row r="11" spans="1:11" ht="15.5" x14ac:dyDescent="0.35">
      <c r="A11" s="16" t="s">
        <v>40</v>
      </c>
      <c r="B11" s="1">
        <f>Station!D11</f>
        <v>1</v>
      </c>
      <c r="C11" s="1" t="str">
        <f>MID(Station!B11,2,3)</f>
        <v>330</v>
      </c>
      <c r="D11" s="1">
        <f>(360+90)-C11</f>
        <v>120</v>
      </c>
      <c r="E11" s="1">
        <f t="shared" si="0"/>
        <v>2.0943951023931953</v>
      </c>
      <c r="F11" s="3">
        <v>1</v>
      </c>
      <c r="G11" s="3">
        <v>1</v>
      </c>
      <c r="H11" s="12">
        <f t="shared" si="1"/>
        <v>1.3660254037844384</v>
      </c>
      <c r="I11" s="12">
        <f t="shared" si="2"/>
        <v>-0.36602540378443893</v>
      </c>
      <c r="J11" s="7">
        <f t="shared" si="3"/>
        <v>1.4142135623730951</v>
      </c>
      <c r="K11" s="10"/>
    </row>
    <row r="12" spans="1:11" x14ac:dyDescent="0.35">
      <c r="A12" s="15" t="s">
        <v>9</v>
      </c>
      <c r="B12" s="1">
        <f>Station!D12</f>
        <v>1</v>
      </c>
      <c r="C12" s="1" t="str">
        <f>MID(Station!B12,2,3)</f>
        <v>220</v>
      </c>
      <c r="D12" s="1">
        <f t="shared" ref="D12:D13" si="6">(90-C12)</f>
        <v>-130</v>
      </c>
      <c r="E12" s="1">
        <f t="shared" si="0"/>
        <v>-2.2689280275926285</v>
      </c>
      <c r="F12" s="3">
        <v>1</v>
      </c>
      <c r="G12" s="3">
        <v>1</v>
      </c>
      <c r="H12" s="12">
        <f t="shared" si="1"/>
        <v>-0.12325683343243865</v>
      </c>
      <c r="I12" s="12">
        <f t="shared" si="2"/>
        <v>1.4088320528055174</v>
      </c>
      <c r="J12" s="7">
        <f t="shared" si="3"/>
        <v>1.4142135623730951</v>
      </c>
      <c r="K12" s="10"/>
    </row>
    <row r="13" spans="1:11" ht="15.5" x14ac:dyDescent="0.35">
      <c r="A13" s="16" t="s">
        <v>10</v>
      </c>
      <c r="B13" s="1">
        <f>Station!D13</f>
        <v>1</v>
      </c>
      <c r="C13" s="1" t="str">
        <f>MID(Station!B13,2,3)</f>
        <v>194</v>
      </c>
      <c r="D13" s="1">
        <f t="shared" si="6"/>
        <v>-104</v>
      </c>
      <c r="E13" s="1">
        <f t="shared" si="0"/>
        <v>-1.8151424220741028</v>
      </c>
      <c r="F13" s="3">
        <v>1</v>
      </c>
      <c r="G13" s="3">
        <v>1</v>
      </c>
      <c r="H13" s="12">
        <f t="shared" si="1"/>
        <v>-0.72837383067632866</v>
      </c>
      <c r="I13" s="12">
        <f t="shared" si="2"/>
        <v>1.2122176218756642</v>
      </c>
      <c r="J13" s="7">
        <f t="shared" si="3"/>
        <v>1.4142135623730951</v>
      </c>
      <c r="K13" s="10"/>
    </row>
    <row r="14" spans="1:11" x14ac:dyDescent="0.35">
      <c r="A14" s="15" t="s">
        <v>11</v>
      </c>
      <c r="B14" s="1">
        <f>Station!D14</f>
        <v>1</v>
      </c>
      <c r="C14" s="1" t="str">
        <f>MID(Station!B14,2,2)</f>
        <v>51</v>
      </c>
      <c r="D14" s="1">
        <f>90-C14</f>
        <v>39</v>
      </c>
      <c r="E14" s="1">
        <f t="shared" si="0"/>
        <v>0.68067840827778847</v>
      </c>
      <c r="F14" s="3">
        <v>1</v>
      </c>
      <c r="G14" s="3">
        <v>1</v>
      </c>
      <c r="H14" s="12">
        <f t="shared" si="1"/>
        <v>-0.14782557040713351</v>
      </c>
      <c r="I14" s="12">
        <f t="shared" si="2"/>
        <v>-1.4064663525068082</v>
      </c>
      <c r="J14" s="7">
        <f t="shared" si="3"/>
        <v>1.4142135623730951</v>
      </c>
      <c r="K14" s="10"/>
    </row>
    <row r="15" spans="1:11" x14ac:dyDescent="0.35">
      <c r="A15" s="8" t="s">
        <v>12</v>
      </c>
      <c r="B15" s="1">
        <f>Station!D15</f>
        <v>1</v>
      </c>
      <c r="C15" s="1" t="str">
        <f>MID(Station!B15,2,3)</f>
        <v>249</v>
      </c>
      <c r="D15" s="1">
        <f>(90-C15)</f>
        <v>-159</v>
      </c>
      <c r="E15" s="1">
        <f t="shared" si="0"/>
        <v>-2.7750735106709841</v>
      </c>
      <c r="F15" s="3">
        <v>1</v>
      </c>
      <c r="G15" s="3">
        <v>1</v>
      </c>
      <c r="H15" s="12">
        <f t="shared" si="1"/>
        <v>0.57521247695190159</v>
      </c>
      <c r="I15" s="12">
        <f t="shared" si="2"/>
        <v>1.2919483760425019</v>
      </c>
      <c r="J15" s="7">
        <f t="shared" si="3"/>
        <v>1.4142135623730951</v>
      </c>
      <c r="K15" s="10"/>
    </row>
    <row r="16" spans="1:11" x14ac:dyDescent="0.35">
      <c r="A16" t="s">
        <v>13</v>
      </c>
      <c r="B16" s="1">
        <f>Station!D16</f>
        <v>1</v>
      </c>
      <c r="C16" s="1" t="str">
        <f>MID(Station!B16,2,2)</f>
        <v>54</v>
      </c>
      <c r="D16" s="1">
        <f>90-C16</f>
        <v>36</v>
      </c>
      <c r="E16" s="1">
        <f t="shared" si="0"/>
        <v>0.62831853071795862</v>
      </c>
      <c r="F16" s="3">
        <v>1</v>
      </c>
      <c r="G16" s="3">
        <v>1</v>
      </c>
      <c r="H16" s="12">
        <f t="shared" si="1"/>
        <v>-0.22123174208247431</v>
      </c>
      <c r="I16" s="12">
        <f t="shared" si="2"/>
        <v>-1.3968022466674206</v>
      </c>
      <c r="J16" s="7">
        <f t="shared" si="3"/>
        <v>1.4142135623730951</v>
      </c>
      <c r="K16" s="10"/>
    </row>
    <row r="17" spans="1:11" x14ac:dyDescent="0.35">
      <c r="A17" t="s">
        <v>39</v>
      </c>
      <c r="B17" s="1">
        <f>Station!D17</f>
        <v>1</v>
      </c>
      <c r="C17" s="1" t="str">
        <f>MID(Station!B17,2,3)</f>
        <v>122</v>
      </c>
      <c r="D17" s="1">
        <f>(C17-90)*-1</f>
        <v>-32</v>
      </c>
      <c r="E17" s="1">
        <f t="shared" si="0"/>
        <v>-0.55850536063818546</v>
      </c>
      <c r="F17" s="3">
        <v>1</v>
      </c>
      <c r="G17" s="3">
        <v>1</v>
      </c>
      <c r="H17" s="12">
        <f t="shared" si="1"/>
        <v>-1.377967360389631</v>
      </c>
      <c r="I17" s="12">
        <f t="shared" si="2"/>
        <v>-0.31812883192322106</v>
      </c>
      <c r="J17" s="7">
        <f t="shared" si="3"/>
        <v>1.4142135623730951</v>
      </c>
      <c r="K17" s="10"/>
    </row>
    <row r="18" spans="1:11" x14ac:dyDescent="0.35">
      <c r="A18" t="s">
        <v>53</v>
      </c>
      <c r="B18" s="1">
        <v>1</v>
      </c>
      <c r="C18" s="1">
        <v>273</v>
      </c>
      <c r="D18" s="1">
        <f>(C18-90)*-1</f>
        <v>-183</v>
      </c>
      <c r="E18" s="1">
        <f>D18*PI()/180</f>
        <v>-3.1939525311496229</v>
      </c>
      <c r="F18" s="3">
        <v>1</v>
      </c>
      <c r="G18" s="3">
        <v>1</v>
      </c>
      <c r="H18" s="12">
        <f>-(F18*COS(E18)-G18*SIN(E18))*B18</f>
        <v>1.0509654909975175</v>
      </c>
      <c r="I18" s="12">
        <f>-(F18*SIN(E18)+G18*COS(E18))*B18</f>
        <v>0.94629357851163032</v>
      </c>
      <c r="J18" s="7">
        <f t="shared" ref="J18" si="7">SQRT(F18^2+G18^2)</f>
        <v>1.4142135623730951</v>
      </c>
      <c r="K18" s="10"/>
    </row>
    <row r="19" spans="1:11" x14ac:dyDescent="0.35">
      <c r="F19" s="3"/>
      <c r="G19" s="3"/>
      <c r="H19" s="4"/>
      <c r="I19" s="4"/>
      <c r="J19" s="2"/>
      <c r="K19" s="2"/>
    </row>
    <row r="20" spans="1:11" x14ac:dyDescent="0.35">
      <c r="B20" s="11"/>
      <c r="C20" s="11"/>
      <c r="D20" s="13"/>
      <c r="E20" s="13"/>
      <c r="F20" s="3"/>
      <c r="G20" s="3"/>
      <c r="H20" s="4"/>
      <c r="I20" s="4"/>
      <c r="J20" s="7"/>
      <c r="K20" s="7"/>
    </row>
    <row r="21" spans="1:11" x14ac:dyDescent="0.35">
      <c r="B21" s="11"/>
      <c r="C21" s="11"/>
      <c r="D21" s="11"/>
      <c r="E21" s="11"/>
      <c r="J21" s="2"/>
      <c r="K21" s="2"/>
    </row>
    <row r="22" spans="1:11" x14ac:dyDescent="0.35">
      <c r="F22" s="3"/>
      <c r="G22" s="3"/>
      <c r="H22" s="4"/>
      <c r="I22" s="4"/>
      <c r="J22" s="7"/>
      <c r="K22" s="10"/>
    </row>
    <row r="23" spans="1:11" x14ac:dyDescent="0.35">
      <c r="F23" s="3"/>
      <c r="G23" s="3"/>
      <c r="H23" s="4"/>
      <c r="I23" s="4"/>
      <c r="J23" s="7"/>
      <c r="K23" s="10"/>
    </row>
    <row r="24" spans="1:11" x14ac:dyDescent="0.35">
      <c r="F24" s="3"/>
      <c r="G24" s="3"/>
      <c r="H24" s="4"/>
      <c r="I24" s="4"/>
      <c r="J24" s="7"/>
      <c r="K24" s="10"/>
    </row>
    <row r="25" spans="1:11" x14ac:dyDescent="0.35">
      <c r="A25" s="8"/>
      <c r="F25" s="3"/>
      <c r="G25" s="3"/>
      <c r="H25" s="4"/>
      <c r="I25" s="4"/>
      <c r="J25" s="7"/>
      <c r="K25" s="10"/>
    </row>
    <row r="26" spans="1:11" x14ac:dyDescent="0.35">
      <c r="A26" s="8"/>
      <c r="F26" s="3"/>
      <c r="G26" s="3"/>
      <c r="H26" s="6"/>
      <c r="I26" s="6"/>
      <c r="J26" s="7"/>
      <c r="K26" s="10"/>
    </row>
    <row r="27" spans="1:11" x14ac:dyDescent="0.35">
      <c r="A27" s="8"/>
      <c r="F27" s="3"/>
      <c r="G27" s="3"/>
      <c r="H27" s="6"/>
      <c r="I27" s="6"/>
      <c r="J27" s="7"/>
      <c r="K27" s="10"/>
    </row>
    <row r="28" spans="1:11" x14ac:dyDescent="0.35">
      <c r="A28" s="8"/>
      <c r="F28" s="3"/>
      <c r="G28" s="3"/>
      <c r="H28" s="4"/>
      <c r="I28" s="4"/>
      <c r="J28" s="7"/>
      <c r="K28" s="10"/>
    </row>
    <row r="29" spans="1:11" ht="15.5" x14ac:dyDescent="0.35">
      <c r="A29" s="9"/>
      <c r="F29" s="3"/>
      <c r="G29" s="3"/>
      <c r="H29" s="4"/>
      <c r="I29" s="4"/>
      <c r="J29" s="7"/>
      <c r="K29" s="10"/>
    </row>
    <row r="30" spans="1:11" x14ac:dyDescent="0.35">
      <c r="A30" s="8"/>
      <c r="F30" s="3"/>
      <c r="G30" s="3"/>
      <c r="H30" s="4"/>
      <c r="I30" s="4"/>
      <c r="J30" s="7"/>
      <c r="K30" s="10"/>
    </row>
    <row r="31" spans="1:11" ht="15.5" x14ac:dyDescent="0.35">
      <c r="A31" s="9"/>
      <c r="F31" s="3"/>
      <c r="G31" s="3"/>
      <c r="H31" s="4"/>
      <c r="I31" s="4"/>
      <c r="J31" s="7"/>
      <c r="K31" s="10"/>
    </row>
    <row r="32" spans="1:11" x14ac:dyDescent="0.35">
      <c r="A32" s="8"/>
      <c r="F32" s="3"/>
      <c r="G32" s="3"/>
      <c r="H32" s="4"/>
      <c r="I32" s="4"/>
      <c r="J32" s="7"/>
      <c r="K32" s="10"/>
    </row>
    <row r="33" spans="1:15" x14ac:dyDescent="0.35">
      <c r="A33" s="8"/>
      <c r="F33" s="3"/>
      <c r="G33" s="3"/>
      <c r="H33" s="4"/>
      <c r="I33" s="4"/>
      <c r="J33" s="7"/>
      <c r="K33" s="10"/>
    </row>
    <row r="34" spans="1:15" x14ac:dyDescent="0.35">
      <c r="F34" s="3"/>
      <c r="G34" s="3"/>
      <c r="H34" s="4"/>
      <c r="I34" s="4"/>
      <c r="J34" s="7"/>
      <c r="K34" s="10"/>
    </row>
    <row r="35" spans="1:15" x14ac:dyDescent="0.35">
      <c r="F35" s="3"/>
      <c r="G35" s="3"/>
      <c r="H35" s="4"/>
      <c r="I35" s="4"/>
      <c r="J35" s="7"/>
      <c r="K35" s="10"/>
      <c r="O35" s="1"/>
    </row>
  </sheetData>
  <mergeCells count="2">
    <mergeCell ref="D2:E2"/>
    <mergeCell ref="D20:E2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7"/>
  <sheetViews>
    <sheetView tabSelected="1" workbookViewId="0">
      <selection activeCell="D1" sqref="D1"/>
    </sheetView>
  </sheetViews>
  <sheetFormatPr defaultRowHeight="14.5" x14ac:dyDescent="0.35"/>
  <cols>
    <col min="1" max="1" width="12.90625" style="1" bestFit="1" customWidth="1"/>
    <col min="2" max="3" width="12.90625" style="14" customWidth="1"/>
    <col min="4" max="4" width="10.08984375" style="1" bestFit="1" customWidth="1"/>
    <col min="5" max="5" width="8.7265625" style="1"/>
    <col min="6" max="6" width="14.26953125" style="1" bestFit="1" customWidth="1"/>
  </cols>
  <sheetData>
    <row r="2" spans="1:6" x14ac:dyDescent="0.35">
      <c r="B2" s="1" t="s">
        <v>0</v>
      </c>
      <c r="C2" s="1" t="s">
        <v>1</v>
      </c>
      <c r="D2" s="1" t="s">
        <v>58</v>
      </c>
      <c r="F2" s="1" t="s">
        <v>59</v>
      </c>
    </row>
    <row r="3" spans="1:6" x14ac:dyDescent="0.35">
      <c r="A3" s="1" t="s">
        <v>60</v>
      </c>
    </row>
    <row r="4" spans="1:6" x14ac:dyDescent="0.35">
      <c r="A4" s="1" t="s">
        <v>2</v>
      </c>
      <c r="B4" s="14" t="s">
        <v>15</v>
      </c>
      <c r="C4" s="14" t="s">
        <v>27</v>
      </c>
      <c r="D4" s="1">
        <v>1</v>
      </c>
      <c r="F4" s="1" t="s">
        <v>54</v>
      </c>
    </row>
    <row r="5" spans="1:6" x14ac:dyDescent="0.35">
      <c r="A5" s="1" t="s">
        <v>3</v>
      </c>
      <c r="B5" s="14" t="s">
        <v>16</v>
      </c>
      <c r="C5" s="14" t="s">
        <v>28</v>
      </c>
      <c r="D5" s="1">
        <v>1</v>
      </c>
      <c r="F5" s="1" t="s">
        <v>54</v>
      </c>
    </row>
    <row r="6" spans="1:6" x14ac:dyDescent="0.35">
      <c r="A6" s="1" t="s">
        <v>4</v>
      </c>
      <c r="B6" s="14" t="s">
        <v>17</v>
      </c>
      <c r="C6" s="14" t="s">
        <v>29</v>
      </c>
      <c r="D6" s="1">
        <v>1</v>
      </c>
      <c r="F6" s="1" t="s">
        <v>54</v>
      </c>
    </row>
    <row r="7" spans="1:6" x14ac:dyDescent="0.35">
      <c r="A7" s="1" t="s">
        <v>5</v>
      </c>
      <c r="B7" s="14" t="s">
        <v>18</v>
      </c>
      <c r="C7" s="14" t="s">
        <v>30</v>
      </c>
      <c r="D7" s="1">
        <v>1</v>
      </c>
      <c r="F7" s="1" t="s">
        <v>54</v>
      </c>
    </row>
    <row r="8" spans="1:6" x14ac:dyDescent="0.35">
      <c r="A8" s="1" t="s">
        <v>6</v>
      </c>
      <c r="B8" s="14" t="s">
        <v>48</v>
      </c>
      <c r="C8" s="14" t="s">
        <v>44</v>
      </c>
      <c r="D8" s="1">
        <v>-1</v>
      </c>
      <c r="F8" s="1" t="s">
        <v>56</v>
      </c>
    </row>
    <row r="9" spans="1:6" x14ac:dyDescent="0.35">
      <c r="A9" s="1" t="s">
        <v>7</v>
      </c>
      <c r="B9" s="14" t="s">
        <v>49</v>
      </c>
      <c r="C9" s="14" t="s">
        <v>50</v>
      </c>
      <c r="D9" s="1">
        <v>-1</v>
      </c>
      <c r="F9" s="1" t="s">
        <v>56</v>
      </c>
    </row>
    <row r="10" spans="1:6" x14ac:dyDescent="0.35">
      <c r="A10" s="1" t="s">
        <v>8</v>
      </c>
      <c r="B10" s="14" t="s">
        <v>19</v>
      </c>
      <c r="C10" s="14" t="s">
        <v>31</v>
      </c>
      <c r="D10" s="1">
        <v>1</v>
      </c>
      <c r="F10" s="1" t="s">
        <v>54</v>
      </c>
    </row>
    <row r="11" spans="1:6" x14ac:dyDescent="0.35">
      <c r="A11" s="1" t="s">
        <v>40</v>
      </c>
      <c r="B11" s="14" t="s">
        <v>20</v>
      </c>
      <c r="C11" s="14" t="s">
        <v>32</v>
      </c>
      <c r="D11" s="1">
        <v>1</v>
      </c>
      <c r="F11" s="1" t="s">
        <v>54</v>
      </c>
    </row>
    <row r="12" spans="1:6" x14ac:dyDescent="0.35">
      <c r="A12" s="1" t="s">
        <v>9</v>
      </c>
      <c r="B12" s="14" t="s">
        <v>21</v>
      </c>
      <c r="C12" s="14" t="s">
        <v>33</v>
      </c>
      <c r="D12" s="1">
        <v>1</v>
      </c>
      <c r="F12" s="1" t="s">
        <v>54</v>
      </c>
    </row>
    <row r="13" spans="1:6" x14ac:dyDescent="0.35">
      <c r="A13" s="1" t="s">
        <v>10</v>
      </c>
      <c r="B13" s="14" t="s">
        <v>22</v>
      </c>
      <c r="C13" s="14" t="s">
        <v>34</v>
      </c>
      <c r="D13" s="1">
        <v>1</v>
      </c>
      <c r="F13" s="1" t="s">
        <v>54</v>
      </c>
    </row>
    <row r="14" spans="1:6" x14ac:dyDescent="0.35">
      <c r="A14" s="1" t="s">
        <v>11</v>
      </c>
      <c r="B14" s="14" t="s">
        <v>23</v>
      </c>
      <c r="C14" s="14" t="s">
        <v>35</v>
      </c>
      <c r="D14" s="1">
        <v>1</v>
      </c>
      <c r="F14" s="1" t="s">
        <v>54</v>
      </c>
    </row>
    <row r="15" spans="1:6" x14ac:dyDescent="0.35">
      <c r="A15" s="1" t="s">
        <v>12</v>
      </c>
      <c r="B15" s="14" t="s">
        <v>24</v>
      </c>
      <c r="C15" s="14" t="s">
        <v>36</v>
      </c>
      <c r="D15" s="1">
        <v>1</v>
      </c>
      <c r="F15" s="1" t="s">
        <v>57</v>
      </c>
    </row>
    <row r="16" spans="1:6" x14ac:dyDescent="0.35">
      <c r="A16" s="1" t="s">
        <v>13</v>
      </c>
      <c r="B16" s="14" t="s">
        <v>25</v>
      </c>
      <c r="C16" s="14" t="s">
        <v>37</v>
      </c>
      <c r="D16" s="1">
        <v>1</v>
      </c>
      <c r="F16" s="1" t="s">
        <v>54</v>
      </c>
    </row>
    <row r="17" spans="1:6" x14ac:dyDescent="0.35">
      <c r="A17" s="1" t="s">
        <v>55</v>
      </c>
      <c r="B17" s="14" t="s">
        <v>26</v>
      </c>
      <c r="C17" s="14" t="s">
        <v>38</v>
      </c>
      <c r="D17" s="1">
        <v>1</v>
      </c>
      <c r="F17" s="1" t="s">
        <v>54</v>
      </c>
    </row>
  </sheetData>
  <pageMargins left="0.7" right="0.7" top="0.75" bottom="0.75" header="0.3" footer="0.3"/>
  <pageSetup paperSize="9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Conversion</vt:lpstr>
      <vt:lpstr>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Salvatore Gambino</dc:creator>
  <cp:lastModifiedBy>Giuseppe Puglisi</cp:lastModifiedBy>
  <dcterms:created xsi:type="dcterms:W3CDTF">2019-07-29T08:30:33Z</dcterms:created>
  <dcterms:modified xsi:type="dcterms:W3CDTF">2023-07-27T10:46:13Z</dcterms:modified>
</cp:coreProperties>
</file>